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Example" sheetId="2" r:id="rId5"/>
    <sheet state="visible" name="Participants" sheetId="3" r:id="rId6"/>
    <sheet state="visible" name="Tasks" sheetId="4" r:id="rId7"/>
    <sheet state="visible" name="Timing" sheetId="5" r:id="rId8"/>
    <sheet state="visible" name="SUS" sheetId="6" r:id="rId9"/>
    <sheet state="visible" name="Quotes" sheetId="7" r:id="rId10"/>
    <sheet state="visible" name="Issues" sheetId="8" r:id="rId11"/>
    <sheet state="visible" name="Summary" sheetId="9" r:id="rId12"/>
  </sheets>
  <definedNames/>
  <calcPr/>
  <extLst>
    <ext uri="GoogleSheetsCustomDataVersion2">
      <go:sheetsCustomData xmlns:go="http://customooxmlschemas.google.com/" r:id="rId13" roundtripDataChecksum="D6n9zcU+dd5XU7S0uJ6Y/JOTBPPRYyIKX6ch+fhRdIs="/>
    </ext>
  </extLst>
</workbook>
</file>

<file path=xl/sharedStrings.xml><?xml version="1.0" encoding="utf-8"?>
<sst xmlns="http://schemas.openxmlformats.org/spreadsheetml/2006/main" count="360" uniqueCount="174">
  <si>
    <t>5x1 usability test results: prototype v0.2</t>
  </si>
  <si>
    <t>Example: how each tab should look</t>
  </si>
  <si>
    <t>Participants</t>
  </si>
  <si>
    <t>Before you start</t>
  </si>
  <si>
    <t>1. Type only in the yellow cells. Grey cells calculate, so leave them alone.</t>
  </si>
  <si>
    <t>How to fill: the role is already filled in. Check it matches the person. Device: pick phone, tablet or computer from the list. Session: pick in person or call. Notes are optional. See the Example tab.</t>
  </si>
  <si>
    <t>ALL NAMES AND NUMBERS ON THIS TAB ARE MADE UP. They show the format only. Do not copy them into the results tabs.</t>
  </si>
  <si>
    <t>2. The sheets are locked so formulas can't be overwritten by accident. Each yellow cell shows a tip when you click it.</t>
  </si>
  <si>
    <t>3. Use participant codes P1 to P5. Never write names.</t>
  </si>
  <si>
    <t>4. Open the Example tab first. It shows one filled example for every tab. The names and numbers there are made up, so don't copy them.</t>
  </si>
  <si>
    <t>Tabs, in order</t>
  </si>
  <si>
    <t>Participants: who took part (5 rows).</t>
  </si>
  <si>
    <t>Tasks: did each person finish each task alone (S), with help (H), or not at all (F).</t>
  </si>
  <si>
    <t>Timing: minutes and seconds for tasks 1, 2, 7, 8 and 9, plus wrong taps.</t>
  </si>
  <si>
    <t>SUS: each person's answer to the 10 SUS statements (1 to 5). The score calculates.</t>
  </si>
  <si>
    <t>Quotes: exact words people said. Up to 20 quotes.</t>
  </si>
  <si>
    <t>Issues: up to 10 problems, ranked, each with a severity.</t>
  </si>
  <si>
    <t>Summary: calculates the pass check. You don't type here, except the changes line at the bottom.</t>
  </si>
  <si>
    <t>Check before you send it back</t>
  </si>
  <si>
    <t>Summary &gt; 'Ready to send back?' should say complete on every row. If it doesn't, it says what is missing.</t>
  </si>
  <si>
    <t>Tasks: every task has five letters (the 'Blank entries' column shows 0).</t>
  </si>
  <si>
    <t>Timing: all 25 rows have minutes and seconds filled in.</t>
  </si>
  <si>
    <t>SUS: all 50 answers are filled in.</t>
  </si>
  <si>
    <t>Then send the file back.</t>
  </si>
  <si>
    <t>Task results</t>
  </si>
  <si>
    <t>Code</t>
  </si>
  <si>
    <t>Participants (tab: Participants)</t>
  </si>
  <si>
    <t>Role</t>
  </si>
  <si>
    <t>Device used</t>
  </si>
  <si>
    <t>How to fill: for each task and each person, pick ONE letter from the drop-down in the yellow cell. S = finished alone, no help. H = finished, but needed a hint or help. F = did not finish. Every cell must have a letter. See the Example tab.</t>
  </si>
  <si>
    <t>Session</t>
  </si>
  <si>
    <t>Notes</t>
  </si>
  <si>
    <t>P1</t>
  </si>
  <si>
    <t>#</t>
  </si>
  <si>
    <t>Player</t>
  </si>
  <si>
    <t>Task</t>
  </si>
  <si>
    <t>phone</t>
  </si>
  <si>
    <t>in person</t>
  </si>
  <si>
    <t>Used one thumb. Asked once where Settings was.</t>
  </si>
  <si>
    <t>Code is P1 to P5, never a name. Device: phone, tablet or computer. Session: in person or call. Notes are optional.</t>
  </si>
  <si>
    <t>none</t>
  </si>
  <si>
    <t>P2</t>
  </si>
  <si>
    <t>P3</t>
  </si>
  <si>
    <t>computer</t>
  </si>
  <si>
    <t>P4</t>
  </si>
  <si>
    <t>P5</t>
  </si>
  <si>
    <t>Tasks (tab: Tasks). Each cell gets one letter: S, H or F</t>
  </si>
  <si>
    <t>great to use</t>
  </si>
  <si>
    <t>Finished alone (of 5)</t>
  </si>
  <si>
    <t>Coach</t>
  </si>
  <si>
    <t>Blank entries</t>
  </si>
  <si>
    <t>very helpfull</t>
  </si>
  <si>
    <t>Result</t>
  </si>
  <si>
    <t>Admin</t>
  </si>
  <si>
    <t>Create an account and finish the profile as a player</t>
  </si>
  <si>
    <t>great features</t>
  </si>
  <si>
    <t>Finished alone</t>
  </si>
  <si>
    <t>S</t>
  </si>
  <si>
    <t>H</t>
  </si>
  <si>
    <t>4 of 5 = PASS</t>
  </si>
  <si>
    <t>Find out what happens when answering going to a full event</t>
  </si>
  <si>
    <t>F</t>
  </si>
  <si>
    <t>3 of 5 = FAIL</t>
  </si>
  <si>
    <t>S = finished alone, no help. H = finished, but needed a hint or help. F = did not finish. Only S counts as 'alone'. Task 1 passes because four people finished alone. Task 3 fails.</t>
  </si>
  <si>
    <t>Timing (tab: Timing). Minutes and seconds go in separate cells</t>
  </si>
  <si>
    <t>Participant</t>
  </si>
  <si>
    <t>Minutes</t>
  </si>
  <si>
    <t>Seconds</t>
  </si>
  <si>
    <t>Total seconds</t>
  </si>
  <si>
    <t>Wrong taps</t>
  </si>
  <si>
    <t>Over 2 minutes?</t>
  </si>
  <si>
    <t>no</t>
  </si>
  <si>
    <t>YES</t>
  </si>
  <si>
    <t>Example 1: 1 min 35 s is typed as minutes 1 and seconds 35. The sheet works out 95 seconds. Example 2: 2 min 10 s is over 2 minutes, so the sheet flags it. Wrong taps is the number of taps on the wrong button or screen.</t>
  </si>
  <si>
    <t>SUS (tab: SUS). Type 1 to 5 for each statement, for each person</t>
  </si>
  <si>
    <t>Statement</t>
  </si>
  <si>
    <t>P1 answer</t>
  </si>
  <si>
    <t>Typed as</t>
  </si>
  <si>
    <t>1. I think I would like to use this app often.</t>
  </si>
  <si>
    <t>a number, 1 to 5. Not 'agree'</t>
  </si>
  <si>
    <t>2. I found the app unnecessarily complex.</t>
  </si>
  <si>
    <t>Say going to Thursday's training, then change to not going</t>
  </si>
  <si>
    <t>3. I thought the app was easy to use.</t>
  </si>
  <si>
    <t>4. I think I would need the support of a technical person to use this app.</t>
  </si>
  <si>
    <t>5. I found the various functions in this app were well integrated.</t>
  </si>
  <si>
    <t>6. I thought there was too much inconsistency in this app.</t>
  </si>
  <si>
    <t>7. I would imagine that most people would learn to use this app very quickly.</t>
  </si>
  <si>
    <t>8. I found the app very cumbersome to use.</t>
  </si>
  <si>
    <t>9. I felt very confident using the app.</t>
  </si>
  <si>
    <t>10. I needed to learn a lot of things before I could get going with this app.</t>
  </si>
  <si>
    <t>Ask each person for one number per statement. The sheet works out the score (here 80 out of 100). You don't type the score. If all five people give the same answers, the sheet flags it so you can check.</t>
  </si>
  <si>
    <t>Change your position and save it</t>
  </si>
  <si>
    <t>Quotes (tab: Quotes). Exact words, one quote per row</t>
  </si>
  <si>
    <t>Task (number or moment)</t>
  </si>
  <si>
    <t>Quote</t>
  </si>
  <si>
    <t>7 (create training)</t>
  </si>
  <si>
    <t>"I thought the time box was under the team tab, so I went there first."</t>
  </si>
  <si>
    <t>Find Settings and switch to dark theme</t>
  </si>
  <si>
    <t>Time on task and wrong taps (tasks 1, 2, 7, 8, 9)</t>
  </si>
  <si>
    <t>Copy exactly what the person said. If you cut words, put [...] where they were. Put the task number, or 'after task 9', in the middle column.</t>
  </si>
  <si>
    <t>How to fill: time starts when the person begins the task and stops when they finish. Type MINUTES and SECONDS in their own yellow cells. Example: 1 min 35 s = minutes 1, seconds 35. Wrong taps = taps on the wrong button or screen. Total seconds and 'over 2 minutes' calculate. See the Example tab.</t>
  </si>
  <si>
    <t>Issues (tab: Issues). Ranked, one problem per row</t>
  </si>
  <si>
    <t>Add a club member to your team's roster</t>
  </si>
  <si>
    <t>Rank</t>
  </si>
  <si>
    <t>Issue</t>
  </si>
  <si>
    <t>Tasks affected</t>
  </si>
  <si>
    <t>Severity</t>
  </si>
  <si>
    <t>Fix proposed</t>
  </si>
  <si>
    <t>Status</t>
  </si>
  <si>
    <t>Seconds (0-59)</t>
  </si>
  <si>
    <t>Waitlist promotion button not clear</t>
  </si>
  <si>
    <t>10</t>
  </si>
  <si>
    <t>major</t>
  </si>
  <si>
    <t>Rename 'Promote' to 'Move to event'</t>
  </si>
  <si>
    <t>open</t>
  </si>
  <si>
    <t>Create a training event for your team</t>
  </si>
  <si>
    <t>Severity: blocker = a person could not finish a core task or lost data. major = finished, but slow or confusing. minor = wording, layout or cosmetic. Status: open, fixed or accepted.</t>
  </si>
  <si>
    <t>Take attendance for the last session, marking one person late</t>
  </si>
  <si>
    <t>Approve a pending member and assign two teams in one step</t>
  </si>
  <si>
    <t>Promote a waitlisted person to a full event</t>
  </si>
  <si>
    <t>Open a member's details (admins only) and find the emergency contact</t>
  </si>
  <si>
    <t>System Usability Scale (ask after all tasks)</t>
  </si>
  <si>
    <t>How to fill: for each statement and each person, type one number from 1 (strongly disagree) to 5 (strongly agree). Numbers only, no words. The score calculates; do not type it. Every answer must be filled in. See the Example tab.</t>
  </si>
  <si>
    <t>Check: same answers as P1? (flags copied answers)</t>
  </si>
  <si>
    <t>SUS score (0 to 100). Calculated, do not type.</t>
  </si>
  <si>
    <t>Average of the five scores</t>
  </si>
  <si>
    <t>Quotes</t>
  </si>
  <si>
    <t>How to fill: copy the exact words the person said, one quote per row. Put [...] where you cut words. Pick the participant from the list. Put the task number, or 'after task 9', in column B. See the Example tab.</t>
  </si>
  <si>
    <t>Quote (exact words)</t>
  </si>
  <si>
    <t>Timing</t>
  </si>
  <si>
    <t>App is very easy to use</t>
  </si>
  <si>
    <t>SUS</t>
  </si>
  <si>
    <t>Self explained</t>
  </si>
  <si>
    <t>liked that feature</t>
  </si>
  <si>
    <t>issues</t>
  </si>
  <si>
    <t>notthing to make a bad exprience</t>
  </si>
  <si>
    <t>very easy</t>
  </si>
  <si>
    <t>Top issues (ranked)</t>
  </si>
  <si>
    <t>How to fill: one problem per row, most important first. Severity: blocker = a person could not finish a core task or lost data. major = finished, but slow or confusing. minor = wording, layout or cosmetic. Leave the proposed fix blank if you don't have one. See the Example tab.</t>
  </si>
  <si>
    <t>looks like a paid app</t>
  </si>
  <si>
    <t>people might not buy</t>
  </si>
  <si>
    <t>minor</t>
  </si>
  <si>
    <t>make the app free</t>
  </si>
  <si>
    <t>accepted</t>
  </si>
  <si>
    <t>buttons might be too big in some places like settings, looks like wnat to ocupied the screen</t>
  </si>
  <si>
    <t>not nice visual</t>
  </si>
  <si>
    <t>make more visual nice buttons</t>
  </si>
  <si>
    <t>players profile could have more thinngs, like bio, or maybe add friend, following, something like, if it can turn into a social midia like sport facebook</t>
  </si>
  <si>
    <t>none, just an idea</t>
  </si>
  <si>
    <t>make like a social midia</t>
  </si>
  <si>
    <t>themes limited</t>
  </si>
  <si>
    <t>only 2 themes</t>
  </si>
  <si>
    <t>should open to the user chose all the colours he likes, like if a lgbt person wnat to make colorfull?</t>
  </si>
  <si>
    <t>Pass or fail against the plan</t>
  </si>
  <si>
    <t>will be major like an app or web applicaition?</t>
  </si>
  <si>
    <t>depends how we want to manager</t>
  </si>
  <si>
    <t>Calculated. Don't type here, except the 'changes made' line at the bottom. Each check shows NOT YET until its data is complete.</t>
  </si>
  <si>
    <t>admin version on PC would be more useful the phone as it give full visibiltyes and task to sort out than do on phone</t>
  </si>
  <si>
    <t>Check</t>
  </si>
  <si>
    <t>Detail</t>
  </si>
  <si>
    <t>Core tasks finished alone by at least four of five people</t>
  </si>
  <si>
    <t>No task over 2 minutes for a first-time user</t>
  </si>
  <si>
    <t>Average SUS score (0 to 100)</t>
  </si>
  <si>
    <t>Blockers found</t>
  </si>
  <si>
    <t>Ready to send back?</t>
  </si>
  <si>
    <t>Part</t>
  </si>
  <si>
    <t>What is missing</t>
  </si>
  <si>
    <t>Tasks (55 entries)</t>
  </si>
  <si>
    <t>Timing (25 rows)</t>
  </si>
  <si>
    <t>SUS (50 answers)</t>
  </si>
  <si>
    <t>SUS copied answers</t>
  </si>
  <si>
    <t>Quotes and issues</t>
  </si>
  <si>
    <t>Changes made after this round</t>
  </si>
  <si>
    <t>List the prototype changes, with the commit hash.</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</si>
</sst>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rgb="FF021C37"/>
      <name val="Calibri"/>
      <scheme val="minor"/>
    </font>
    <font>
      <b/>
      <sz val="12.0"/>
      <color rgb="FF021C37"/>
      <name val="Calibri"/>
      <scheme val="minor"/>
    </font>
    <font>
      <sz val="11.0"/>
      <color theme="1"/>
      <name val="Calibri"/>
    </font>
    <font>
      <color rgb="FF021C37"/>
      <name val="Calibri"/>
      <scheme val="minor"/>
    </font>
    <font>
      <b/>
      <color rgb="FF9C2A00"/>
      <name val="Calibri"/>
      <scheme val="minor"/>
    </font>
    <font/>
    <font>
      <b/>
      <color rgb="FFF8F8F5"/>
      <name val="Calibri"/>
      <scheme val="minor"/>
    </font>
    <font>
      <i/>
      <color theme="1"/>
      <name val="Calibri"/>
      <scheme val="minor"/>
    </font>
    <font>
      <b/>
      <color theme="1"/>
      <name val="Calibri"/>
      <scheme val="minor"/>
    </font>
    <font>
      <b/>
      <color rgb="FF021C37"/>
      <name val="Calibri"/>
      <scheme val="minor"/>
    </font>
  </fonts>
  <fills count="6">
    <fill>
      <patternFill patternType="none"/>
    </fill>
    <fill>
      <patternFill patternType="lightGray"/>
    </fill>
    <fill>
      <patternFill patternType="solid">
        <fgColor rgb="FFEEF3F8"/>
        <bgColor rgb="FFEEF3F8"/>
      </patternFill>
    </fill>
    <fill>
      <patternFill patternType="solid">
        <fgColor rgb="FF021C37"/>
        <bgColor rgb="FF021C37"/>
      </patternFill>
    </fill>
    <fill>
      <patternFill patternType="solid">
        <fgColor rgb="FFFFF6CC"/>
        <bgColor rgb="FFFFF6CC"/>
      </patternFill>
    </fill>
    <fill>
      <patternFill patternType="solid">
        <fgColor rgb="FFF2F2F2"/>
        <bgColor rgb="FFF2F2F2"/>
      </patternFill>
    </fill>
  </fills>
  <borders count="6">
    <border/>
    <border>
      <left/>
      <top/>
      <bottom/>
    </border>
    <border>
      <top/>
      <bottom/>
    </border>
    <border>
      <right/>
      <top/>
      <bottom/>
    </border>
    <border>
      <left style="thin">
        <color rgb="FFD9DDE3"/>
      </left>
      <right style="thin">
        <color rgb="FFD9DDE3"/>
      </right>
      <top style="thin">
        <color rgb="FFD9DDE3"/>
      </top>
      <bottom style="thin">
        <color rgb="FFD9DDE3"/>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shrinkToFit="0" vertical="center" wrapText="1"/>
    </xf>
    <xf borderId="2" fillId="0" fontId="6" numFmtId="0" xfId="0" applyBorder="1" applyFont="1"/>
    <xf borderId="1" fillId="2" fontId="5" numFmtId="0" xfId="0" applyAlignment="1" applyBorder="1" applyFill="1" applyFont="1">
      <alignment shrinkToFit="0" vertical="center" wrapText="1"/>
    </xf>
    <xf borderId="3" fillId="0" fontId="6" numFmtId="0" xfId="0" applyBorder="1" applyFont="1"/>
    <xf borderId="4" fillId="3" fontId="7" numFmtId="0" xfId="0" applyAlignment="1" applyBorder="1" applyFill="1" applyFont="1">
      <alignment horizontal="center" shrinkToFit="0" vertical="center" wrapText="1"/>
    </xf>
    <xf borderId="0" fillId="0" fontId="2" numFmtId="0" xfId="0" applyFont="1"/>
    <xf borderId="4" fillId="0" fontId="3" numFmtId="0" xfId="0" applyAlignment="1" applyBorder="1" applyFont="1">
      <alignment shrinkToFit="0" vertical="top" wrapText="1"/>
    </xf>
    <xf borderId="4" fillId="4" fontId="3" numFmtId="0" xfId="0" applyAlignment="1" applyBorder="1" applyFill="1" applyFont="1">
      <alignment shrinkToFit="0" vertical="top" wrapText="1"/>
    </xf>
    <xf borderId="4" fillId="4" fontId="3" numFmtId="0" xfId="0" applyAlignment="1" applyBorder="1" applyFill="1" applyFont="1">
      <alignment readingOrder="0" shrinkToFit="0" vertical="top" wrapText="1"/>
    </xf>
    <xf borderId="4" fillId="5" fontId="3" numFmtId="0" xfId="0" applyAlignment="1" applyBorder="1" applyFill="1" applyFont="1">
      <alignment shrinkToFit="0" vertical="top" wrapText="1"/>
    </xf>
    <xf borderId="4" fillId="0" fontId="8" numFmtId="0" xfId="0" applyAlignment="1" applyBorder="1" applyFont="1">
      <alignment shrinkToFit="0" vertical="top" wrapText="1"/>
    </xf>
    <xf borderId="4" fillId="0" fontId="9" numFmtId="0" xfId="0" applyAlignment="1" applyBorder="1" applyFont="1">
      <alignment shrinkToFit="0" vertical="top" wrapText="1"/>
    </xf>
    <xf borderId="0" fillId="0" fontId="9" numFmtId="0" xfId="0" applyFont="1"/>
    <xf borderId="5" fillId="5" fontId="3" numFmtId="0" xfId="0" applyBorder="1" applyFill="1" applyFont="1"/>
    <xf borderId="0" fillId="0" fontId="10" numFmtId="0" xfId="0" applyFont="1"/>
  </cellXfs>
  <cellStyles count="1">
    <cellStyle xfId="0" name="Normal" builtinId="0"/>
  </cellStyles>
  <dxfs count="3">
    <dxf>
      <font/>
      <fill>
        <patternFill patternType="solid">
          <fgColor rgb="FFFCD5C5"/>
          <bgColor rgb="FFFCD5C5"/>
        </patternFill>
      </fill>
      <border/>
    </dxf>
    <dxf>
      <font/>
      <fill>
        <patternFill patternType="solid">
          <fgColor rgb="FFC9F5DC"/>
          <bgColor rgb="FFC9F5DC"/>
        </patternFill>
      </fill>
      <border/>
    </dxf>
    <dxf>
      <font/>
      <fill>
        <patternFill patternType="solid">
          <fgColor rgb="FFFFF6CC"/>
          <bgColor rgb="FFFFF6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1" t="s">
        <v>0</v>
      </c>
    </row>
    <row r="3">
      <c r="A3" s="2" t="s">
        <v>3</v>
      </c>
    </row>
    <row r="4">
      <c r="A4" s="3" t="s">
        <v>4</v>
      </c>
    </row>
    <row r="5">
      <c r="A5" s="3" t="s">
        <v>7</v>
      </c>
    </row>
    <row r="6">
      <c r="A6" s="3" t="s">
        <v>8</v>
      </c>
    </row>
    <row r="7">
      <c r="A7" s="3" t="s">
        <v>9</v>
      </c>
    </row>
    <row r="8">
      <c r="A8" s="3"/>
    </row>
    <row r="9">
      <c r="A9" s="2" t="s">
        <v>10</v>
      </c>
    </row>
    <row r="10">
      <c r="A10" s="3" t="s">
        <v>11</v>
      </c>
    </row>
    <row r="11">
      <c r="A11" s="3" t="s">
        <v>12</v>
      </c>
    </row>
    <row r="12">
      <c r="A12" s="3" t="s">
        <v>13</v>
      </c>
    </row>
    <row r="13">
      <c r="A13" s="3" t="s">
        <v>14</v>
      </c>
    </row>
    <row r="14">
      <c r="A14" s="3" t="s">
        <v>15</v>
      </c>
    </row>
    <row r="15">
      <c r="A15" s="3" t="s">
        <v>16</v>
      </c>
    </row>
    <row r="16">
      <c r="A16" s="3" t="s">
        <v>17</v>
      </c>
    </row>
    <row r="17">
      <c r="A17" s="3"/>
    </row>
    <row r="18">
      <c r="A18" s="2" t="s">
        <v>18</v>
      </c>
    </row>
    <row r="19">
      <c r="A19" s="3" t="s">
        <v>19</v>
      </c>
    </row>
    <row r="20">
      <c r="A20" s="3" t="s">
        <v>20</v>
      </c>
    </row>
    <row r="21" ht="15.75" customHeight="1">
      <c r="A21" s="3" t="s">
        <v>21</v>
      </c>
    </row>
    <row r="22" ht="15.75" customHeight="1">
      <c r="A22" s="3" t="s">
        <v>22</v>
      </c>
    </row>
    <row r="23" ht="15.75" customHeight="1">
      <c r="A23" s="3" t="s">
        <v>23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40.0"/>
    <col customWidth="1" min="3" max="3" width="18.0"/>
    <col customWidth="1" min="4" max="4" width="14.0"/>
    <col customWidth="1" min="5" max="6" width="20.0"/>
    <col customWidth="1" min="7" max="7" width="16.0"/>
    <col customWidth="1" min="8" max="8" width="12.0"/>
    <col customWidth="1" min="9" max="9" width="18.0"/>
    <col customWidth="1" min="10" max="26" width="8.71"/>
  </cols>
  <sheetData>
    <row r="1">
      <c r="A1" s="1" t="s">
        <v>1</v>
      </c>
    </row>
    <row r="2" ht="36.0" customHeight="1">
      <c r="A2" s="6" t="s">
        <v>6</v>
      </c>
      <c r="B2" s="5"/>
      <c r="C2" s="5"/>
      <c r="D2" s="5"/>
      <c r="E2" s="5"/>
      <c r="F2" s="5"/>
      <c r="G2" s="5"/>
      <c r="H2" s="5"/>
      <c r="I2" s="7"/>
    </row>
    <row r="4">
      <c r="A4" s="9" t="s">
        <v>26</v>
      </c>
    </row>
    <row r="5" ht="31.5" customHeight="1">
      <c r="A5" s="8" t="s">
        <v>25</v>
      </c>
      <c r="B5" s="8" t="s">
        <v>27</v>
      </c>
      <c r="C5" s="8" t="s">
        <v>28</v>
      </c>
      <c r="D5" s="8" t="s">
        <v>30</v>
      </c>
      <c r="E5" s="8" t="s">
        <v>31</v>
      </c>
    </row>
    <row r="6">
      <c r="A6" s="10" t="s">
        <v>32</v>
      </c>
      <c r="B6" s="10" t="s">
        <v>34</v>
      </c>
      <c r="C6" s="10" t="s">
        <v>36</v>
      </c>
      <c r="D6" s="10" t="s">
        <v>37</v>
      </c>
      <c r="E6" s="10" t="s">
        <v>38</v>
      </c>
    </row>
    <row r="7" ht="43.5" customHeight="1">
      <c r="A7" s="4" t="s">
        <v>39</v>
      </c>
      <c r="B7" s="5"/>
      <c r="C7" s="5"/>
      <c r="D7" s="5"/>
      <c r="E7" s="7"/>
    </row>
    <row r="9">
      <c r="A9" s="9" t="s">
        <v>46</v>
      </c>
    </row>
    <row r="10" ht="31.5" customHeight="1">
      <c r="A10" s="8" t="s">
        <v>33</v>
      </c>
      <c r="B10" s="8" t="s">
        <v>35</v>
      </c>
      <c r="C10" s="8" t="s">
        <v>27</v>
      </c>
      <c r="D10" s="8" t="s">
        <v>32</v>
      </c>
      <c r="E10" s="8" t="s">
        <v>41</v>
      </c>
      <c r="F10" s="8" t="s">
        <v>42</v>
      </c>
      <c r="G10" s="8" t="s">
        <v>44</v>
      </c>
      <c r="H10" s="8" t="s">
        <v>45</v>
      </c>
      <c r="I10" s="8" t="s">
        <v>56</v>
      </c>
    </row>
    <row r="11">
      <c r="A11" s="10">
        <v>1.0</v>
      </c>
      <c r="B11" s="10" t="s">
        <v>54</v>
      </c>
      <c r="C11" s="10" t="s">
        <v>34</v>
      </c>
      <c r="D11" s="10" t="s">
        <v>57</v>
      </c>
      <c r="E11" s="10" t="s">
        <v>57</v>
      </c>
      <c r="F11" s="10" t="s">
        <v>58</v>
      </c>
      <c r="G11" s="10" t="s">
        <v>57</v>
      </c>
      <c r="H11" s="10" t="s">
        <v>57</v>
      </c>
      <c r="I11" s="10" t="s">
        <v>59</v>
      </c>
    </row>
    <row r="12">
      <c r="A12" s="10">
        <v>3.0</v>
      </c>
      <c r="B12" s="10" t="s">
        <v>60</v>
      </c>
      <c r="C12" s="10" t="s">
        <v>34</v>
      </c>
      <c r="D12" s="10" t="s">
        <v>57</v>
      </c>
      <c r="E12" s="10" t="s">
        <v>61</v>
      </c>
      <c r="F12" s="10" t="s">
        <v>57</v>
      </c>
      <c r="G12" s="10" t="s">
        <v>57</v>
      </c>
      <c r="H12" s="10" t="s">
        <v>61</v>
      </c>
      <c r="I12" s="10" t="s">
        <v>62</v>
      </c>
    </row>
    <row r="13" ht="43.5" customHeight="1">
      <c r="A13" s="4" t="s">
        <v>63</v>
      </c>
      <c r="B13" s="5"/>
      <c r="C13" s="5"/>
      <c r="D13" s="5"/>
      <c r="E13" s="5"/>
      <c r="F13" s="5"/>
      <c r="G13" s="5"/>
      <c r="H13" s="5"/>
      <c r="I13" s="7"/>
    </row>
    <row r="15">
      <c r="A15" s="9" t="s">
        <v>64</v>
      </c>
    </row>
    <row r="16" ht="31.5" customHeight="1">
      <c r="A16" s="8" t="s">
        <v>35</v>
      </c>
      <c r="B16" s="8" t="s">
        <v>65</v>
      </c>
      <c r="C16" s="8" t="s">
        <v>66</v>
      </c>
      <c r="D16" s="8" t="s">
        <v>67</v>
      </c>
      <c r="E16" s="8" t="s">
        <v>68</v>
      </c>
      <c r="F16" s="8" t="s">
        <v>69</v>
      </c>
      <c r="G16" s="8" t="s">
        <v>70</v>
      </c>
    </row>
    <row r="17">
      <c r="A17" s="10">
        <v>1.0</v>
      </c>
      <c r="B17" s="10" t="s">
        <v>32</v>
      </c>
      <c r="C17" s="10">
        <v>1.0</v>
      </c>
      <c r="D17" s="10">
        <v>35.0</v>
      </c>
      <c r="E17" s="10">
        <v>95.0</v>
      </c>
      <c r="F17" s="10">
        <v>0.0</v>
      </c>
      <c r="G17" s="10" t="s">
        <v>71</v>
      </c>
    </row>
    <row r="18">
      <c r="A18" s="10">
        <v>8.0</v>
      </c>
      <c r="B18" s="10" t="s">
        <v>42</v>
      </c>
      <c r="C18" s="10">
        <v>2.0</v>
      </c>
      <c r="D18" s="10">
        <v>10.0</v>
      </c>
      <c r="E18" s="10">
        <v>130.0</v>
      </c>
      <c r="F18" s="10">
        <v>3.0</v>
      </c>
      <c r="G18" s="10" t="s">
        <v>72</v>
      </c>
    </row>
    <row r="19" ht="43.5" customHeight="1">
      <c r="A19" s="4" t="s">
        <v>73</v>
      </c>
      <c r="B19" s="5"/>
      <c r="C19" s="5"/>
      <c r="D19" s="5"/>
      <c r="E19" s="5"/>
      <c r="F19" s="5"/>
      <c r="G19" s="7"/>
    </row>
    <row r="21" ht="15.75" customHeight="1">
      <c r="A21" s="9" t="s">
        <v>74</v>
      </c>
    </row>
    <row r="22" ht="31.5" customHeight="1">
      <c r="A22" s="8" t="s">
        <v>75</v>
      </c>
      <c r="B22" s="8" t="s">
        <v>76</v>
      </c>
      <c r="C22" s="8" t="s">
        <v>77</v>
      </c>
    </row>
    <row r="23" ht="15.75" customHeight="1">
      <c r="A23" s="10" t="s">
        <v>78</v>
      </c>
      <c r="B23" s="10">
        <v>4.0</v>
      </c>
      <c r="C23" s="10" t="s">
        <v>79</v>
      </c>
    </row>
    <row r="24" ht="15.75" customHeight="1">
      <c r="A24" s="10" t="s">
        <v>80</v>
      </c>
      <c r="B24" s="10">
        <v>2.0</v>
      </c>
      <c r="C24" s="10"/>
    </row>
    <row r="25" ht="15.75" customHeight="1">
      <c r="A25" s="10" t="s">
        <v>82</v>
      </c>
      <c r="B25" s="10">
        <v>4.0</v>
      </c>
      <c r="C25" s="10"/>
    </row>
    <row r="26" ht="15.75" customHeight="1">
      <c r="A26" s="10" t="s">
        <v>83</v>
      </c>
      <c r="B26" s="10">
        <v>2.0</v>
      </c>
      <c r="C26" s="10"/>
    </row>
    <row r="27" ht="15.75" customHeight="1">
      <c r="A27" s="10" t="s">
        <v>84</v>
      </c>
      <c r="B27" s="10">
        <v>4.0</v>
      </c>
      <c r="C27" s="10"/>
    </row>
    <row r="28" ht="15.75" customHeight="1">
      <c r="A28" s="10" t="s">
        <v>85</v>
      </c>
      <c r="B28" s="10">
        <v>2.0</v>
      </c>
      <c r="C28" s="10"/>
    </row>
    <row r="29" ht="15.75" customHeight="1">
      <c r="A29" s="10" t="s">
        <v>86</v>
      </c>
      <c r="B29" s="10">
        <v>5.0</v>
      </c>
      <c r="C29" s="10"/>
    </row>
    <row r="30" ht="15.75" customHeight="1">
      <c r="A30" s="10" t="s">
        <v>87</v>
      </c>
      <c r="B30" s="10">
        <v>1.0</v>
      </c>
      <c r="C30" s="10"/>
    </row>
    <row r="31" ht="15.75" customHeight="1">
      <c r="A31" s="10" t="s">
        <v>88</v>
      </c>
      <c r="B31" s="10">
        <v>4.0</v>
      </c>
      <c r="C31" s="10"/>
    </row>
    <row r="32" ht="15.75" customHeight="1">
      <c r="A32" s="10" t="s">
        <v>89</v>
      </c>
      <c r="B32" s="10">
        <v>2.0</v>
      </c>
      <c r="C32" s="10"/>
    </row>
    <row r="33" ht="43.5" customHeight="1">
      <c r="A33" s="4" t="s">
        <v>90</v>
      </c>
      <c r="B33" s="5"/>
      <c r="C33" s="7"/>
    </row>
    <row r="34" ht="15.75" customHeight="1"/>
    <row r="35" ht="15.75" customHeight="1">
      <c r="A35" s="9" t="s">
        <v>92</v>
      </c>
    </row>
    <row r="36" ht="31.5" customHeight="1">
      <c r="A36" s="8" t="s">
        <v>65</v>
      </c>
      <c r="B36" s="8" t="s">
        <v>93</v>
      </c>
      <c r="C36" s="8" t="s">
        <v>94</v>
      </c>
    </row>
    <row r="37" ht="15.75" customHeight="1">
      <c r="A37" s="10" t="s">
        <v>41</v>
      </c>
      <c r="B37" s="10" t="s">
        <v>95</v>
      </c>
      <c r="C37" s="10" t="s">
        <v>96</v>
      </c>
    </row>
    <row r="38" ht="43.5" customHeight="1">
      <c r="A38" s="4" t="s">
        <v>99</v>
      </c>
      <c r="B38" s="5"/>
      <c r="C38" s="7"/>
    </row>
    <row r="39" ht="15.75" customHeight="1"/>
    <row r="40" ht="15.75" customHeight="1">
      <c r="A40" s="9" t="s">
        <v>101</v>
      </c>
    </row>
    <row r="41" ht="31.5" customHeight="1">
      <c r="A41" s="8" t="s">
        <v>103</v>
      </c>
      <c r="B41" s="8" t="s">
        <v>104</v>
      </c>
      <c r="C41" s="8" t="s">
        <v>105</v>
      </c>
      <c r="D41" s="8" t="s">
        <v>106</v>
      </c>
      <c r="E41" s="8" t="s">
        <v>107</v>
      </c>
      <c r="F41" s="8" t="s">
        <v>108</v>
      </c>
    </row>
    <row r="42" ht="15.75" customHeight="1">
      <c r="A42" s="10">
        <v>1.0</v>
      </c>
      <c r="B42" s="10" t="s">
        <v>110</v>
      </c>
      <c r="C42" s="10" t="s">
        <v>111</v>
      </c>
      <c r="D42" s="10" t="s">
        <v>112</v>
      </c>
      <c r="E42" s="10" t="s">
        <v>113</v>
      </c>
      <c r="F42" s="10" t="s">
        <v>114</v>
      </c>
    </row>
    <row r="43" ht="43.5" customHeight="1">
      <c r="A43" s="4" t="s">
        <v>116</v>
      </c>
      <c r="B43" s="5"/>
      <c r="C43" s="5"/>
      <c r="D43" s="5"/>
      <c r="E43" s="5"/>
      <c r="F43" s="7"/>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I2"/>
    <mergeCell ref="A7:E7"/>
    <mergeCell ref="A13:I13"/>
    <mergeCell ref="A19:G19"/>
    <mergeCell ref="A33:C33"/>
    <mergeCell ref="A38:C38"/>
    <mergeCell ref="A43:F4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0"/>
    <col customWidth="1" min="3" max="4" width="16.0"/>
    <col customWidth="1" min="5" max="5" width="50.0"/>
    <col customWidth="1" min="6" max="26" width="8.71"/>
  </cols>
  <sheetData>
    <row r="1">
      <c r="A1" s="1" t="s">
        <v>2</v>
      </c>
    </row>
    <row r="2" ht="43.5" customHeight="1">
      <c r="A2" s="4" t="s">
        <v>5</v>
      </c>
      <c r="B2" s="5"/>
      <c r="C2" s="5"/>
      <c r="D2" s="5"/>
      <c r="E2" s="7"/>
    </row>
    <row r="4" ht="31.5" customHeight="1">
      <c r="A4" s="8" t="s">
        <v>25</v>
      </c>
      <c r="B4" s="8" t="s">
        <v>27</v>
      </c>
      <c r="C4" s="8" t="s">
        <v>28</v>
      </c>
      <c r="D4" s="8" t="s">
        <v>30</v>
      </c>
      <c r="E4" s="8" t="s">
        <v>31</v>
      </c>
    </row>
    <row r="5">
      <c r="A5" s="10" t="s">
        <v>32</v>
      </c>
      <c r="B5" s="11" t="s">
        <v>34</v>
      </c>
      <c r="C5" s="12" t="s">
        <v>36</v>
      </c>
      <c r="D5" s="12" t="s">
        <v>37</v>
      </c>
      <c r="E5" s="12" t="s">
        <v>40</v>
      </c>
    </row>
    <row r="6">
      <c r="A6" s="10" t="s">
        <v>41</v>
      </c>
      <c r="B6" s="11" t="s">
        <v>34</v>
      </c>
      <c r="C6" s="12" t="s">
        <v>43</v>
      </c>
      <c r="D6" s="12" t="s">
        <v>37</v>
      </c>
      <c r="E6" s="12" t="s">
        <v>47</v>
      </c>
    </row>
    <row r="7">
      <c r="A7" s="10" t="s">
        <v>42</v>
      </c>
      <c r="B7" s="11" t="s">
        <v>49</v>
      </c>
      <c r="C7" s="12" t="s">
        <v>36</v>
      </c>
      <c r="D7" s="12" t="s">
        <v>37</v>
      </c>
      <c r="E7" s="12" t="s">
        <v>51</v>
      </c>
    </row>
    <row r="8">
      <c r="A8" s="10" t="s">
        <v>44</v>
      </c>
      <c r="B8" s="11" t="s">
        <v>53</v>
      </c>
      <c r="C8" s="12" t="s">
        <v>36</v>
      </c>
      <c r="D8" s="12" t="s">
        <v>37</v>
      </c>
      <c r="E8" s="12" t="s">
        <v>40</v>
      </c>
    </row>
    <row r="9">
      <c r="A9" s="10" t="s">
        <v>45</v>
      </c>
      <c r="B9" s="11" t="s">
        <v>53</v>
      </c>
      <c r="C9" s="12" t="s">
        <v>36</v>
      </c>
      <c r="D9" s="12" t="s">
        <v>37</v>
      </c>
      <c r="E9" s="12"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E2"/>
  </mergeCells>
  <dataValidations>
    <dataValidation type="list" allowBlank="1" showInputMessage="1" showErrorMessage="1" prompt="Role - Player, Coach or Admin. Check it matches the person." sqref="B5:B9">
      <formula1>"Player,Coach,Admin"</formula1>
    </dataValidation>
    <dataValidation type="list" allowBlank="1" showInputMessage="1" showErrorMessage="1" prompt="Device - Phone, tablet or computer." sqref="C5:C9">
      <formula1>"phone,tablet,computer"</formula1>
    </dataValidation>
    <dataValidation type="list" allowBlank="1" showInputMessage="1" showErrorMessage="1" prompt="Session - In person or call." sqref="D5:D9">
      <formula1>"in person,call"</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5.0"/>
    <col customWidth="1" min="2" max="2" width="56.0"/>
    <col customWidth="1" min="3" max="3" width="10.0"/>
    <col customWidth="1" min="4" max="8" width="7.0"/>
    <col customWidth="1" min="9" max="9" width="13.0"/>
    <col customWidth="1" min="10" max="10" width="12.0"/>
    <col customWidth="1" min="11" max="11" width="13.0"/>
    <col customWidth="1" min="12" max="26" width="8.71"/>
  </cols>
  <sheetData>
    <row r="1">
      <c r="A1" s="1" t="s">
        <v>24</v>
      </c>
    </row>
    <row r="2" ht="48.0" customHeight="1">
      <c r="A2" s="4" t="s">
        <v>29</v>
      </c>
      <c r="B2" s="5"/>
      <c r="C2" s="5"/>
      <c r="D2" s="5"/>
      <c r="E2" s="5"/>
      <c r="F2" s="5"/>
      <c r="G2" s="5"/>
      <c r="H2" s="5"/>
      <c r="I2" s="5"/>
      <c r="J2" s="5"/>
      <c r="K2" s="7"/>
    </row>
    <row r="4" ht="31.5" customHeight="1">
      <c r="A4" s="8" t="s">
        <v>33</v>
      </c>
      <c r="B4" s="8" t="s">
        <v>35</v>
      </c>
      <c r="C4" s="8" t="s">
        <v>27</v>
      </c>
      <c r="D4" s="8" t="s">
        <v>32</v>
      </c>
      <c r="E4" s="8" t="s">
        <v>41</v>
      </c>
      <c r="F4" s="8" t="s">
        <v>42</v>
      </c>
      <c r="G4" s="8" t="s">
        <v>44</v>
      </c>
      <c r="H4" s="8" t="s">
        <v>45</v>
      </c>
      <c r="I4" s="8" t="s">
        <v>48</v>
      </c>
      <c r="J4" s="8" t="s">
        <v>50</v>
      </c>
      <c r="K4" s="8" t="s">
        <v>52</v>
      </c>
    </row>
    <row r="5">
      <c r="A5" s="10">
        <v>1.0</v>
      </c>
      <c r="B5" s="10" t="s">
        <v>54</v>
      </c>
      <c r="C5" s="10" t="s">
        <v>34</v>
      </c>
      <c r="D5" s="12" t="s">
        <v>57</v>
      </c>
      <c r="E5" s="12" t="s">
        <v>57</v>
      </c>
      <c r="F5" s="12" t="s">
        <v>57</v>
      </c>
      <c r="G5" s="12" t="s">
        <v>57</v>
      </c>
      <c r="H5" s="12" t="s">
        <v>57</v>
      </c>
      <c r="I5" s="13">
        <f t="shared" ref="I5:I15" si="1">COUNTIF(D5:H5,"S")</f>
        <v>5</v>
      </c>
      <c r="J5" s="13">
        <f t="shared" ref="J5:J15" si="2">5-COUNTA(D5:H5)</f>
        <v>0</v>
      </c>
      <c r="K5" s="13" t="str">
        <f t="shared" ref="K5:K15" si="3">IF(J5&gt;0,"incomplete",IF(I5&gt;=4,"PASS","FAIL"))</f>
        <v>PASS</v>
      </c>
    </row>
    <row r="6">
      <c r="A6" s="10">
        <v>2.0</v>
      </c>
      <c r="B6" s="10" t="s">
        <v>81</v>
      </c>
      <c r="C6" s="10" t="s">
        <v>34</v>
      </c>
      <c r="D6" s="12" t="s">
        <v>57</v>
      </c>
      <c r="E6" s="12" t="s">
        <v>57</v>
      </c>
      <c r="F6" s="12" t="s">
        <v>57</v>
      </c>
      <c r="G6" s="12" t="s">
        <v>57</v>
      </c>
      <c r="H6" s="12" t="s">
        <v>57</v>
      </c>
      <c r="I6" s="13">
        <f t="shared" si="1"/>
        <v>5</v>
      </c>
      <c r="J6" s="13">
        <f t="shared" si="2"/>
        <v>0</v>
      </c>
      <c r="K6" s="13" t="str">
        <f t="shared" si="3"/>
        <v>PASS</v>
      </c>
    </row>
    <row r="7">
      <c r="A7" s="10">
        <v>3.0</v>
      </c>
      <c r="B7" s="10" t="s">
        <v>60</v>
      </c>
      <c r="C7" s="10" t="s">
        <v>34</v>
      </c>
      <c r="D7" s="12" t="s">
        <v>57</v>
      </c>
      <c r="E7" s="12" t="s">
        <v>57</v>
      </c>
      <c r="F7" s="12" t="s">
        <v>57</v>
      </c>
      <c r="G7" s="12" t="s">
        <v>57</v>
      </c>
      <c r="H7" s="12" t="s">
        <v>57</v>
      </c>
      <c r="I7" s="13">
        <f t="shared" si="1"/>
        <v>5</v>
      </c>
      <c r="J7" s="13">
        <f t="shared" si="2"/>
        <v>0</v>
      </c>
      <c r="K7" s="13" t="str">
        <f t="shared" si="3"/>
        <v>PASS</v>
      </c>
    </row>
    <row r="8">
      <c r="A8" s="10">
        <v>4.0</v>
      </c>
      <c r="B8" s="10" t="s">
        <v>91</v>
      </c>
      <c r="C8" s="10" t="s">
        <v>34</v>
      </c>
      <c r="D8" s="12" t="s">
        <v>57</v>
      </c>
      <c r="E8" s="12" t="s">
        <v>57</v>
      </c>
      <c r="F8" s="12" t="s">
        <v>57</v>
      </c>
      <c r="G8" s="12" t="s">
        <v>57</v>
      </c>
      <c r="H8" s="12" t="s">
        <v>57</v>
      </c>
      <c r="I8" s="13">
        <f t="shared" si="1"/>
        <v>5</v>
      </c>
      <c r="J8" s="13">
        <f t="shared" si="2"/>
        <v>0</v>
      </c>
      <c r="K8" s="13" t="str">
        <f t="shared" si="3"/>
        <v>PASS</v>
      </c>
    </row>
    <row r="9">
      <c r="A9" s="10">
        <v>5.0</v>
      </c>
      <c r="B9" s="10" t="s">
        <v>97</v>
      </c>
      <c r="C9" s="10" t="s">
        <v>34</v>
      </c>
      <c r="D9" s="12" t="s">
        <v>57</v>
      </c>
      <c r="E9" s="12" t="s">
        <v>57</v>
      </c>
      <c r="F9" s="12" t="s">
        <v>57</v>
      </c>
      <c r="G9" s="12" t="s">
        <v>57</v>
      </c>
      <c r="H9" s="12" t="s">
        <v>57</v>
      </c>
      <c r="I9" s="13">
        <f t="shared" si="1"/>
        <v>5</v>
      </c>
      <c r="J9" s="13">
        <f t="shared" si="2"/>
        <v>0</v>
      </c>
      <c r="K9" s="13" t="str">
        <f t="shared" si="3"/>
        <v>PASS</v>
      </c>
    </row>
    <row r="10">
      <c r="A10" s="10">
        <v>6.0</v>
      </c>
      <c r="B10" s="10" t="s">
        <v>102</v>
      </c>
      <c r="C10" s="10" t="s">
        <v>49</v>
      </c>
      <c r="D10" s="12" t="s">
        <v>57</v>
      </c>
      <c r="E10" s="12" t="s">
        <v>57</v>
      </c>
      <c r="F10" s="12" t="s">
        <v>57</v>
      </c>
      <c r="G10" s="12" t="s">
        <v>57</v>
      </c>
      <c r="H10" s="12" t="s">
        <v>57</v>
      </c>
      <c r="I10" s="13">
        <f t="shared" si="1"/>
        <v>5</v>
      </c>
      <c r="J10" s="13">
        <f t="shared" si="2"/>
        <v>0</v>
      </c>
      <c r="K10" s="13" t="str">
        <f t="shared" si="3"/>
        <v>PASS</v>
      </c>
    </row>
    <row r="11">
      <c r="A11" s="10">
        <v>7.0</v>
      </c>
      <c r="B11" s="10" t="s">
        <v>115</v>
      </c>
      <c r="C11" s="10" t="s">
        <v>49</v>
      </c>
      <c r="D11" s="12" t="s">
        <v>57</v>
      </c>
      <c r="E11" s="12" t="s">
        <v>57</v>
      </c>
      <c r="F11" s="12" t="s">
        <v>57</v>
      </c>
      <c r="G11" s="12" t="s">
        <v>57</v>
      </c>
      <c r="H11" s="12" t="s">
        <v>57</v>
      </c>
      <c r="I11" s="13">
        <f t="shared" si="1"/>
        <v>5</v>
      </c>
      <c r="J11" s="13">
        <f t="shared" si="2"/>
        <v>0</v>
      </c>
      <c r="K11" s="13" t="str">
        <f t="shared" si="3"/>
        <v>PASS</v>
      </c>
    </row>
    <row r="12">
      <c r="A12" s="10">
        <v>8.0</v>
      </c>
      <c r="B12" s="10" t="s">
        <v>117</v>
      </c>
      <c r="C12" s="10" t="s">
        <v>49</v>
      </c>
      <c r="D12" s="12" t="s">
        <v>57</v>
      </c>
      <c r="E12" s="12" t="s">
        <v>57</v>
      </c>
      <c r="F12" s="12" t="s">
        <v>57</v>
      </c>
      <c r="G12" s="12" t="s">
        <v>57</v>
      </c>
      <c r="H12" s="12" t="s">
        <v>57</v>
      </c>
      <c r="I12" s="13">
        <f t="shared" si="1"/>
        <v>5</v>
      </c>
      <c r="J12" s="13">
        <f t="shared" si="2"/>
        <v>0</v>
      </c>
      <c r="K12" s="13" t="str">
        <f t="shared" si="3"/>
        <v>PASS</v>
      </c>
    </row>
    <row r="13">
      <c r="A13" s="10">
        <v>9.0</v>
      </c>
      <c r="B13" s="10" t="s">
        <v>118</v>
      </c>
      <c r="C13" s="10" t="s">
        <v>53</v>
      </c>
      <c r="D13" s="12" t="s">
        <v>57</v>
      </c>
      <c r="E13" s="12" t="s">
        <v>57</v>
      </c>
      <c r="F13" s="12" t="s">
        <v>57</v>
      </c>
      <c r="G13" s="12" t="s">
        <v>57</v>
      </c>
      <c r="H13" s="12" t="s">
        <v>57</v>
      </c>
      <c r="I13" s="13">
        <f t="shared" si="1"/>
        <v>5</v>
      </c>
      <c r="J13" s="13">
        <f t="shared" si="2"/>
        <v>0</v>
      </c>
      <c r="K13" s="13" t="str">
        <f t="shared" si="3"/>
        <v>PASS</v>
      </c>
    </row>
    <row r="14">
      <c r="A14" s="10">
        <v>10.0</v>
      </c>
      <c r="B14" s="10" t="s">
        <v>119</v>
      </c>
      <c r="C14" s="10" t="s">
        <v>53</v>
      </c>
      <c r="D14" s="12" t="s">
        <v>57</v>
      </c>
      <c r="E14" s="12" t="s">
        <v>57</v>
      </c>
      <c r="F14" s="12" t="s">
        <v>57</v>
      </c>
      <c r="G14" s="12" t="s">
        <v>57</v>
      </c>
      <c r="H14" s="12" t="s">
        <v>57</v>
      </c>
      <c r="I14" s="13">
        <f t="shared" si="1"/>
        <v>5</v>
      </c>
      <c r="J14" s="13">
        <f t="shared" si="2"/>
        <v>0</v>
      </c>
      <c r="K14" s="13" t="str">
        <f t="shared" si="3"/>
        <v>PASS</v>
      </c>
    </row>
    <row r="15">
      <c r="A15" s="10">
        <v>11.0</v>
      </c>
      <c r="B15" s="10" t="s">
        <v>120</v>
      </c>
      <c r="C15" s="10" t="s">
        <v>53</v>
      </c>
      <c r="D15" s="12" t="s">
        <v>57</v>
      </c>
      <c r="E15" s="12" t="s">
        <v>57</v>
      </c>
      <c r="F15" s="12" t="s">
        <v>57</v>
      </c>
      <c r="G15" s="12" t="s">
        <v>57</v>
      </c>
      <c r="H15" s="12" t="s">
        <v>57</v>
      </c>
      <c r="I15" s="13">
        <f t="shared" si="1"/>
        <v>5</v>
      </c>
      <c r="J15" s="13">
        <f t="shared" si="2"/>
        <v>0</v>
      </c>
      <c r="K15" s="13" t="str">
        <f t="shared" si="3"/>
        <v>PASS</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K2"/>
  </mergeCells>
  <conditionalFormatting sqref="K5:K15">
    <cfRule type="cellIs" dxfId="0" priority="1" operator="equal">
      <formula>"FAIL"</formula>
    </cfRule>
  </conditionalFormatting>
  <conditionalFormatting sqref="K5:K15">
    <cfRule type="cellIs" dxfId="1" priority="2" operator="equal">
      <formula>"PASS"</formula>
    </cfRule>
  </conditionalFormatting>
  <conditionalFormatting sqref="K5:K15">
    <cfRule type="cellIs" dxfId="2" priority="3" operator="equal">
      <formula>"incomplete"</formula>
    </cfRule>
  </conditionalFormatting>
  <dataValidations>
    <dataValidation type="list" allowBlank="1" showInputMessage="1" showErrorMessage="1" prompt="Letter - S = finished alone. H = finished with help. F = did not finish." sqref="D5:H15">
      <formula1>"S,H,F"</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13.0"/>
    <col customWidth="1" min="3" max="3" width="12.0"/>
    <col customWidth="1" min="4" max="5" width="15.0"/>
    <col customWidth="1" min="6" max="6" width="12.0"/>
    <col customWidth="1" min="7" max="7" width="18.0"/>
    <col customWidth="1" min="8" max="26" width="8.71"/>
  </cols>
  <sheetData>
    <row r="1">
      <c r="A1" s="1" t="s">
        <v>98</v>
      </c>
    </row>
    <row r="2" ht="55.5" customHeight="1">
      <c r="A2" s="4" t="s">
        <v>100</v>
      </c>
      <c r="B2" s="5"/>
      <c r="C2" s="5"/>
      <c r="D2" s="5"/>
      <c r="E2" s="5"/>
      <c r="F2" s="5"/>
      <c r="G2" s="7"/>
    </row>
    <row r="4" ht="31.5" customHeight="1">
      <c r="A4" s="8" t="s">
        <v>35</v>
      </c>
      <c r="B4" s="8" t="s">
        <v>65</v>
      </c>
      <c r="C4" s="8" t="s">
        <v>66</v>
      </c>
      <c r="D4" s="8" t="s">
        <v>109</v>
      </c>
      <c r="E4" s="8" t="s">
        <v>68</v>
      </c>
      <c r="F4" s="8" t="s">
        <v>69</v>
      </c>
      <c r="G4" s="8" t="s">
        <v>70</v>
      </c>
    </row>
    <row r="5">
      <c r="A5" s="10">
        <v>1.0</v>
      </c>
      <c r="B5" s="10" t="s">
        <v>32</v>
      </c>
      <c r="C5" s="12">
        <v>1.0</v>
      </c>
      <c r="D5" s="12">
        <v>23.0</v>
      </c>
      <c r="E5" s="13">
        <f t="shared" ref="E5:E29" si="1">IF(OR(C5="",D5=""),"",C5*60+D5)</f>
        <v>83</v>
      </c>
      <c r="F5" s="12">
        <v>0.0</v>
      </c>
      <c r="G5" s="13" t="str">
        <f t="shared" ref="G5:G29" si="2">IF(E5="","",IF(E5&gt;120,"YES","no"))</f>
        <v>no</v>
      </c>
    </row>
    <row r="6">
      <c r="A6" s="10">
        <v>1.0</v>
      </c>
      <c r="B6" s="10" t="s">
        <v>41</v>
      </c>
      <c r="C6" s="12">
        <v>1.0</v>
      </c>
      <c r="D6" s="12">
        <v>33.0</v>
      </c>
      <c r="E6" s="13">
        <f t="shared" si="1"/>
        <v>93</v>
      </c>
      <c r="F6" s="12">
        <v>0.0</v>
      </c>
      <c r="G6" s="13" t="str">
        <f t="shared" si="2"/>
        <v>no</v>
      </c>
    </row>
    <row r="7">
      <c r="A7" s="10">
        <v>1.0</v>
      </c>
      <c r="B7" s="10" t="s">
        <v>42</v>
      </c>
      <c r="C7" s="12">
        <v>1.0</v>
      </c>
      <c r="D7" s="12">
        <v>42.0</v>
      </c>
      <c r="E7" s="13">
        <f t="shared" si="1"/>
        <v>102</v>
      </c>
      <c r="F7" s="12">
        <v>0.0</v>
      </c>
      <c r="G7" s="13" t="str">
        <f t="shared" si="2"/>
        <v>no</v>
      </c>
    </row>
    <row r="8">
      <c r="A8" s="10">
        <v>1.0</v>
      </c>
      <c r="B8" s="10" t="s">
        <v>44</v>
      </c>
      <c r="C8" s="12">
        <v>1.0</v>
      </c>
      <c r="D8" s="12">
        <v>11.0</v>
      </c>
      <c r="E8" s="13">
        <f t="shared" si="1"/>
        <v>71</v>
      </c>
      <c r="F8" s="12">
        <v>0.0</v>
      </c>
      <c r="G8" s="13" t="str">
        <f t="shared" si="2"/>
        <v>no</v>
      </c>
    </row>
    <row r="9">
      <c r="A9" s="10">
        <v>1.0</v>
      </c>
      <c r="B9" s="10" t="s">
        <v>45</v>
      </c>
      <c r="C9" s="12">
        <v>1.0</v>
      </c>
      <c r="D9" s="12">
        <v>55.0</v>
      </c>
      <c r="E9" s="13">
        <f t="shared" si="1"/>
        <v>115</v>
      </c>
      <c r="F9" s="12">
        <v>1.0</v>
      </c>
      <c r="G9" s="13" t="str">
        <f t="shared" si="2"/>
        <v>no</v>
      </c>
    </row>
    <row r="10">
      <c r="A10" s="10">
        <v>2.0</v>
      </c>
      <c r="B10" s="10" t="s">
        <v>32</v>
      </c>
      <c r="C10" s="12">
        <v>1.0</v>
      </c>
      <c r="D10" s="12">
        <v>11.0</v>
      </c>
      <c r="E10" s="13">
        <f t="shared" si="1"/>
        <v>71</v>
      </c>
      <c r="F10" s="12">
        <v>0.0</v>
      </c>
      <c r="G10" s="13" t="str">
        <f t="shared" si="2"/>
        <v>no</v>
      </c>
    </row>
    <row r="11">
      <c r="A11" s="10">
        <v>2.0</v>
      </c>
      <c r="B11" s="10" t="s">
        <v>41</v>
      </c>
      <c r="C11" s="12">
        <v>1.0</v>
      </c>
      <c r="D11" s="12">
        <v>23.0</v>
      </c>
      <c r="E11" s="13">
        <f t="shared" si="1"/>
        <v>83</v>
      </c>
      <c r="F11" s="12">
        <v>0.0</v>
      </c>
      <c r="G11" s="13" t="str">
        <f t="shared" si="2"/>
        <v>no</v>
      </c>
    </row>
    <row r="12">
      <c r="A12" s="10">
        <v>2.0</v>
      </c>
      <c r="B12" s="10" t="s">
        <v>42</v>
      </c>
      <c r="C12" s="12">
        <v>1.0</v>
      </c>
      <c r="D12" s="12">
        <v>24.0</v>
      </c>
      <c r="E12" s="13">
        <f t="shared" si="1"/>
        <v>84</v>
      </c>
      <c r="F12" s="12">
        <v>0.0</v>
      </c>
      <c r="G12" s="13" t="str">
        <f t="shared" si="2"/>
        <v>no</v>
      </c>
    </row>
    <row r="13">
      <c r="A13" s="10">
        <v>2.0</v>
      </c>
      <c r="B13" s="10" t="s">
        <v>44</v>
      </c>
      <c r="C13" s="12">
        <v>1.0</v>
      </c>
      <c r="D13" s="12">
        <v>43.0</v>
      </c>
      <c r="E13" s="13">
        <f t="shared" si="1"/>
        <v>103</v>
      </c>
      <c r="F13" s="12">
        <v>0.0</v>
      </c>
      <c r="G13" s="13" t="str">
        <f t="shared" si="2"/>
        <v>no</v>
      </c>
    </row>
    <row r="14">
      <c r="A14" s="10">
        <v>2.0</v>
      </c>
      <c r="B14" s="10" t="s">
        <v>45</v>
      </c>
      <c r="C14" s="12">
        <v>1.0</v>
      </c>
      <c r="D14" s="12">
        <v>24.0</v>
      </c>
      <c r="E14" s="13">
        <f t="shared" si="1"/>
        <v>84</v>
      </c>
      <c r="F14" s="12">
        <v>1.0</v>
      </c>
      <c r="G14" s="13" t="str">
        <f t="shared" si="2"/>
        <v>no</v>
      </c>
    </row>
    <row r="15">
      <c r="A15" s="10">
        <v>7.0</v>
      </c>
      <c r="B15" s="10" t="s">
        <v>32</v>
      </c>
      <c r="C15" s="12">
        <v>1.0</v>
      </c>
      <c r="D15" s="12">
        <v>51.0</v>
      </c>
      <c r="E15" s="13">
        <f t="shared" si="1"/>
        <v>111</v>
      </c>
      <c r="F15" s="12">
        <v>0.0</v>
      </c>
      <c r="G15" s="13" t="str">
        <f t="shared" si="2"/>
        <v>no</v>
      </c>
    </row>
    <row r="16">
      <c r="A16" s="10">
        <v>7.0</v>
      </c>
      <c r="B16" s="10" t="s">
        <v>41</v>
      </c>
      <c r="C16" s="12">
        <v>1.0</v>
      </c>
      <c r="D16" s="12">
        <v>11.0</v>
      </c>
      <c r="E16" s="13">
        <f t="shared" si="1"/>
        <v>71</v>
      </c>
      <c r="F16" s="12">
        <v>0.0</v>
      </c>
      <c r="G16" s="13" t="str">
        <f t="shared" si="2"/>
        <v>no</v>
      </c>
    </row>
    <row r="17">
      <c r="A17" s="10">
        <v>7.0</v>
      </c>
      <c r="B17" s="10" t="s">
        <v>42</v>
      </c>
      <c r="C17" s="12">
        <v>1.0</v>
      </c>
      <c r="D17" s="12">
        <v>12.0</v>
      </c>
      <c r="E17" s="13">
        <f t="shared" si="1"/>
        <v>72</v>
      </c>
      <c r="F17" s="12">
        <v>0.0</v>
      </c>
      <c r="G17" s="13" t="str">
        <f t="shared" si="2"/>
        <v>no</v>
      </c>
    </row>
    <row r="18">
      <c r="A18" s="10">
        <v>7.0</v>
      </c>
      <c r="B18" s="10" t="s">
        <v>44</v>
      </c>
      <c r="C18" s="12">
        <v>1.0</v>
      </c>
      <c r="D18" s="12">
        <v>25.0</v>
      </c>
      <c r="E18" s="13">
        <f t="shared" si="1"/>
        <v>85</v>
      </c>
      <c r="F18" s="12">
        <v>0.0</v>
      </c>
      <c r="G18" s="13" t="str">
        <f t="shared" si="2"/>
        <v>no</v>
      </c>
    </row>
    <row r="19">
      <c r="A19" s="10">
        <v>7.0</v>
      </c>
      <c r="B19" s="10" t="s">
        <v>45</v>
      </c>
      <c r="C19" s="12">
        <v>1.0</v>
      </c>
      <c r="D19" s="12">
        <v>42.0</v>
      </c>
      <c r="E19" s="13">
        <f t="shared" si="1"/>
        <v>102</v>
      </c>
      <c r="F19" s="12">
        <v>1.0</v>
      </c>
      <c r="G19" s="13" t="str">
        <f t="shared" si="2"/>
        <v>no</v>
      </c>
    </row>
    <row r="20">
      <c r="A20" s="10">
        <v>8.0</v>
      </c>
      <c r="B20" s="10" t="s">
        <v>32</v>
      </c>
      <c r="C20" s="12">
        <v>1.0</v>
      </c>
      <c r="D20" s="12">
        <v>33.0</v>
      </c>
      <c r="E20" s="13">
        <f t="shared" si="1"/>
        <v>93</v>
      </c>
      <c r="F20" s="12">
        <v>0.0</v>
      </c>
      <c r="G20" s="13" t="str">
        <f t="shared" si="2"/>
        <v>no</v>
      </c>
    </row>
    <row r="21" ht="15.75" customHeight="1">
      <c r="A21" s="10">
        <v>8.0</v>
      </c>
      <c r="B21" s="10" t="s">
        <v>41</v>
      </c>
      <c r="C21" s="12">
        <v>1.0</v>
      </c>
      <c r="D21" s="12">
        <v>16.0</v>
      </c>
      <c r="E21" s="13">
        <f t="shared" si="1"/>
        <v>76</v>
      </c>
      <c r="F21" s="12">
        <v>0.0</v>
      </c>
      <c r="G21" s="13" t="str">
        <f t="shared" si="2"/>
        <v>no</v>
      </c>
    </row>
    <row r="22" ht="15.75" customHeight="1">
      <c r="A22" s="10">
        <v>8.0</v>
      </c>
      <c r="B22" s="10" t="s">
        <v>42</v>
      </c>
      <c r="C22" s="12">
        <v>1.0</v>
      </c>
      <c r="D22" s="12">
        <v>17.0</v>
      </c>
      <c r="E22" s="13">
        <f t="shared" si="1"/>
        <v>77</v>
      </c>
      <c r="F22" s="12">
        <v>0.0</v>
      </c>
      <c r="G22" s="13" t="str">
        <f t="shared" si="2"/>
        <v>no</v>
      </c>
    </row>
    <row r="23" ht="15.75" customHeight="1">
      <c r="A23" s="10">
        <v>8.0</v>
      </c>
      <c r="B23" s="10" t="s">
        <v>44</v>
      </c>
      <c r="C23" s="12">
        <v>1.0</v>
      </c>
      <c r="D23" s="12">
        <v>14.0</v>
      </c>
      <c r="E23" s="13">
        <f t="shared" si="1"/>
        <v>74</v>
      </c>
      <c r="F23" s="12">
        <v>0.0</v>
      </c>
      <c r="G23" s="13" t="str">
        <f t="shared" si="2"/>
        <v>no</v>
      </c>
    </row>
    <row r="24" ht="15.75" customHeight="1">
      <c r="A24" s="10">
        <v>8.0</v>
      </c>
      <c r="B24" s="10" t="s">
        <v>45</v>
      </c>
      <c r="C24" s="12">
        <v>1.0</v>
      </c>
      <c r="D24" s="12">
        <v>22.0</v>
      </c>
      <c r="E24" s="13">
        <f t="shared" si="1"/>
        <v>82</v>
      </c>
      <c r="F24" s="12">
        <v>0.0</v>
      </c>
      <c r="G24" s="13" t="str">
        <f t="shared" si="2"/>
        <v>no</v>
      </c>
    </row>
    <row r="25" ht="15.75" customHeight="1">
      <c r="A25" s="10">
        <v>9.0</v>
      </c>
      <c r="B25" s="10" t="s">
        <v>32</v>
      </c>
      <c r="C25" s="12">
        <v>1.0</v>
      </c>
      <c r="D25" s="12">
        <v>34.0</v>
      </c>
      <c r="E25" s="13">
        <f t="shared" si="1"/>
        <v>94</v>
      </c>
      <c r="F25" s="12">
        <v>1.0</v>
      </c>
      <c r="G25" s="13" t="str">
        <f t="shared" si="2"/>
        <v>no</v>
      </c>
    </row>
    <row r="26" ht="15.75" customHeight="1">
      <c r="A26" s="10">
        <v>9.0</v>
      </c>
      <c r="B26" s="10" t="s">
        <v>41</v>
      </c>
      <c r="C26" s="12">
        <v>1.0</v>
      </c>
      <c r="D26" s="12">
        <v>22.0</v>
      </c>
      <c r="E26" s="13">
        <f t="shared" si="1"/>
        <v>82</v>
      </c>
      <c r="F26" s="12">
        <v>1.0</v>
      </c>
      <c r="G26" s="13" t="str">
        <f t="shared" si="2"/>
        <v>no</v>
      </c>
    </row>
    <row r="27" ht="15.75" customHeight="1">
      <c r="A27" s="10">
        <v>9.0</v>
      </c>
      <c r="B27" s="10" t="s">
        <v>42</v>
      </c>
      <c r="C27" s="12">
        <v>1.0</v>
      </c>
      <c r="D27" s="12">
        <v>21.0</v>
      </c>
      <c r="E27" s="13">
        <f t="shared" si="1"/>
        <v>81</v>
      </c>
      <c r="F27" s="12">
        <v>0.0</v>
      </c>
      <c r="G27" s="13" t="str">
        <f t="shared" si="2"/>
        <v>no</v>
      </c>
    </row>
    <row r="28" ht="15.75" customHeight="1">
      <c r="A28" s="10">
        <v>9.0</v>
      </c>
      <c r="B28" s="10" t="s">
        <v>44</v>
      </c>
      <c r="C28" s="12">
        <v>1.0</v>
      </c>
      <c r="D28" s="12">
        <v>51.0</v>
      </c>
      <c r="E28" s="13">
        <f t="shared" si="1"/>
        <v>111</v>
      </c>
      <c r="F28" s="12">
        <v>0.0</v>
      </c>
      <c r="G28" s="13" t="str">
        <f t="shared" si="2"/>
        <v>no</v>
      </c>
    </row>
    <row r="29" ht="15.75" customHeight="1">
      <c r="A29" s="10">
        <v>9.0</v>
      </c>
      <c r="B29" s="10" t="s">
        <v>45</v>
      </c>
      <c r="C29" s="12">
        <v>1.0</v>
      </c>
      <c r="D29" s="12">
        <v>28.0</v>
      </c>
      <c r="E29" s="13">
        <f t="shared" si="1"/>
        <v>88</v>
      </c>
      <c r="F29" s="12">
        <v>0.0</v>
      </c>
      <c r="G29" s="13" t="str">
        <f t="shared" si="2"/>
        <v>no</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conditionalFormatting sqref="G5:G29">
    <cfRule type="cellIs" dxfId="0" priority="1" operator="equal">
      <formula>"YES"</formula>
    </cfRule>
  </conditionalFormatting>
  <dataValidations>
    <dataValidation type="decimal" allowBlank="1" showInputMessage="1" showErrorMessage="1" prompt="Minutes - Whole minutes, 0 to 30. Example: 1 min 35 s = 1." sqref="C5:C29">
      <formula1>0.0</formula1>
      <formula2>30.0</formula2>
    </dataValidation>
    <dataValidation type="decimal" allowBlank="1" showInputMessage="1" showErrorMessage="1" prompt="Wrong taps - Number of taps on the wrong button or screen. 0 if none." sqref="F5:F29">
      <formula1>0.0</formula1>
      <formula2>100.0</formula2>
    </dataValidation>
    <dataValidation type="decimal" allowBlank="1" showInputMessage="1" showErrorMessage="1" prompt="Seconds - Seconds only, 0 to 59. Example: 1 min 35 s = 35." sqref="D5:D29">
      <formula1>0.0</formula1>
      <formula2>59.0</formula2>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0"/>
    <col customWidth="1" min="2" max="6" width="12.0"/>
    <col customWidth="1" min="7" max="26" width="8.71"/>
  </cols>
  <sheetData>
    <row r="1">
      <c r="A1" s="1" t="s">
        <v>121</v>
      </c>
    </row>
    <row r="2" ht="48.0" customHeight="1">
      <c r="A2" s="4" t="s">
        <v>122</v>
      </c>
      <c r="B2" s="5"/>
      <c r="C2" s="5"/>
      <c r="D2" s="5"/>
      <c r="E2" s="5"/>
      <c r="F2" s="7"/>
    </row>
    <row r="4" ht="31.5" customHeight="1">
      <c r="A4" s="8" t="s">
        <v>75</v>
      </c>
      <c r="B4" s="8" t="s">
        <v>32</v>
      </c>
      <c r="C4" s="8" t="s">
        <v>41</v>
      </c>
      <c r="D4" s="8" t="s">
        <v>42</v>
      </c>
      <c r="E4" s="8" t="s">
        <v>44</v>
      </c>
      <c r="F4" s="8" t="s">
        <v>45</v>
      </c>
    </row>
    <row r="5">
      <c r="A5" s="10" t="s">
        <v>78</v>
      </c>
      <c r="B5" s="12">
        <v>5.0</v>
      </c>
      <c r="C5" s="12">
        <v>4.0</v>
      </c>
      <c r="D5" s="12">
        <v>5.0</v>
      </c>
      <c r="E5" s="12">
        <v>4.0</v>
      </c>
      <c r="F5" s="12">
        <v>5.0</v>
      </c>
    </row>
    <row r="6">
      <c r="A6" s="10" t="s">
        <v>80</v>
      </c>
      <c r="B6" s="12">
        <v>2.0</v>
      </c>
      <c r="C6" s="12">
        <v>1.0</v>
      </c>
      <c r="D6" s="12">
        <v>2.0</v>
      </c>
      <c r="E6" s="12">
        <v>1.0</v>
      </c>
      <c r="F6" s="12">
        <v>1.0</v>
      </c>
    </row>
    <row r="7">
      <c r="A7" s="10" t="s">
        <v>82</v>
      </c>
      <c r="B7" s="12">
        <v>5.0</v>
      </c>
      <c r="C7" s="12">
        <v>5.0</v>
      </c>
      <c r="D7" s="12">
        <v>4.0</v>
      </c>
      <c r="E7" s="12">
        <v>5.0</v>
      </c>
      <c r="F7" s="12">
        <v>5.0</v>
      </c>
    </row>
    <row r="8">
      <c r="A8" s="10" t="s">
        <v>83</v>
      </c>
      <c r="B8" s="12">
        <v>1.0</v>
      </c>
      <c r="C8" s="12">
        <v>1.0</v>
      </c>
      <c r="D8" s="12">
        <v>1.0</v>
      </c>
      <c r="E8" s="12">
        <v>1.0</v>
      </c>
      <c r="F8" s="12">
        <v>1.0</v>
      </c>
    </row>
    <row r="9">
      <c r="A9" s="10" t="s">
        <v>84</v>
      </c>
      <c r="B9" s="12">
        <v>4.0</v>
      </c>
      <c r="C9" s="12">
        <v>5.0</v>
      </c>
      <c r="D9" s="12">
        <v>5.0</v>
      </c>
      <c r="E9" s="12">
        <v>5.0</v>
      </c>
      <c r="F9" s="12">
        <v>5.0</v>
      </c>
    </row>
    <row r="10">
      <c r="A10" s="10" t="s">
        <v>85</v>
      </c>
      <c r="B10" s="12">
        <v>1.0</v>
      </c>
      <c r="C10" s="12">
        <v>1.0</v>
      </c>
      <c r="D10" s="12">
        <v>1.0</v>
      </c>
      <c r="E10" s="12">
        <v>1.0</v>
      </c>
      <c r="F10" s="12">
        <v>2.0</v>
      </c>
    </row>
    <row r="11">
      <c r="A11" s="10" t="s">
        <v>86</v>
      </c>
      <c r="B11" s="12">
        <v>5.0</v>
      </c>
      <c r="C11" s="12">
        <v>5.0</v>
      </c>
      <c r="D11" s="12">
        <v>5.0</v>
      </c>
      <c r="E11" s="12">
        <v>5.0</v>
      </c>
      <c r="F11" s="12">
        <v>4.0</v>
      </c>
    </row>
    <row r="12">
      <c r="A12" s="10" t="s">
        <v>87</v>
      </c>
      <c r="B12" s="12">
        <v>1.0</v>
      </c>
      <c r="C12" s="12">
        <v>1.0</v>
      </c>
      <c r="D12" s="12">
        <v>1.0</v>
      </c>
      <c r="E12" s="12">
        <v>2.0</v>
      </c>
      <c r="F12" s="12">
        <v>1.0</v>
      </c>
    </row>
    <row r="13">
      <c r="A13" s="10" t="s">
        <v>88</v>
      </c>
      <c r="B13" s="12">
        <v>5.0</v>
      </c>
      <c r="C13" s="12">
        <v>5.0</v>
      </c>
      <c r="D13" s="12">
        <v>4.0</v>
      </c>
      <c r="E13" s="12">
        <v>5.0</v>
      </c>
      <c r="F13" s="12">
        <v>5.0</v>
      </c>
    </row>
    <row r="14">
      <c r="A14" s="10" t="s">
        <v>89</v>
      </c>
      <c r="B14" s="12">
        <v>1.0</v>
      </c>
      <c r="C14" s="12">
        <v>2.0</v>
      </c>
      <c r="D14" s="12">
        <v>1.0</v>
      </c>
      <c r="E14" s="12">
        <v>1.0</v>
      </c>
      <c r="F14" s="12">
        <v>1.0</v>
      </c>
    </row>
    <row r="16">
      <c r="A16" s="14" t="s">
        <v>123</v>
      </c>
      <c r="B16" s="13"/>
      <c r="C16" s="13" t="str">
        <f t="shared" ref="C16:F16" si="1">IF(COUNT(C5:C14)&lt;10,"",IF(SUMPRODUCT(--(C5:C14=$B$5:$B$14))=10,"Same as P1: check","OK"))</f>
        <v>OK</v>
      </c>
      <c r="D16" s="13" t="str">
        <f t="shared" si="1"/>
        <v>OK</v>
      </c>
      <c r="E16" s="13" t="str">
        <f t="shared" si="1"/>
        <v>OK</v>
      </c>
      <c r="F16" s="13" t="str">
        <f t="shared" si="1"/>
        <v>OK</v>
      </c>
    </row>
    <row r="17">
      <c r="A17" s="15" t="s">
        <v>124</v>
      </c>
      <c r="B17" s="13">
        <f t="shared" ref="B17:F17" si="2">IF(COUNT(B5:B14)&lt;10,"",(((B5-1)+(B7-1)+(B9-1)+(B11-1)+(B13-1))+(5-B6)+(5-B8)+(5-B10)+(5-B12)+(5-B14))*2.5)</f>
        <v>95</v>
      </c>
      <c r="C17" s="13">
        <f t="shared" si="2"/>
        <v>95</v>
      </c>
      <c r="D17" s="13">
        <f t="shared" si="2"/>
        <v>92.5</v>
      </c>
      <c r="E17" s="13">
        <f t="shared" si="2"/>
        <v>95</v>
      </c>
      <c r="F17" s="13">
        <f t="shared" si="2"/>
        <v>95</v>
      </c>
    </row>
    <row r="19">
      <c r="A19" s="16" t="s">
        <v>125</v>
      </c>
      <c r="B19" s="17">
        <f>IF(COUNT(B17:F17)&lt;5,"",AVERAGE(B17:F17))</f>
        <v>94.5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conditionalFormatting sqref="C16:F16">
    <cfRule type="cellIs" dxfId="2" priority="1" operator="notEqual">
      <formula>"OK"</formula>
    </cfRule>
  </conditionalFormatting>
  <dataValidations>
    <dataValidation type="decimal" allowBlank="1" showInputMessage="1" showErrorMessage="1" prompt="SUS answer - Type 1 (strongly disagree) to 5 (strongly agree). Numbers only." sqref="B5:F14">
      <formula1>1.0</formula1>
      <formula2>5.0</formula2>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26.0"/>
    <col customWidth="1" min="3" max="3" width="90.0"/>
    <col customWidth="1" min="4" max="26" width="8.71"/>
  </cols>
  <sheetData>
    <row r="1">
      <c r="A1" s="1" t="s">
        <v>126</v>
      </c>
    </row>
    <row r="2" ht="43.5" customHeight="1">
      <c r="A2" s="4" t="s">
        <v>127</v>
      </c>
      <c r="B2" s="5"/>
      <c r="C2" s="7"/>
    </row>
    <row r="4" ht="31.5" customHeight="1">
      <c r="A4" s="8" t="s">
        <v>65</v>
      </c>
      <c r="B4" s="8" t="s">
        <v>93</v>
      </c>
      <c r="C4" s="8" t="s">
        <v>128</v>
      </c>
    </row>
    <row r="5">
      <c r="A5" s="12" t="s">
        <v>32</v>
      </c>
      <c r="B5" s="12" t="s">
        <v>129</v>
      </c>
      <c r="C5" s="12" t="s">
        <v>130</v>
      </c>
    </row>
    <row r="6">
      <c r="A6" s="12" t="s">
        <v>41</v>
      </c>
      <c r="B6" s="12" t="s">
        <v>131</v>
      </c>
      <c r="C6" s="12" t="s">
        <v>132</v>
      </c>
    </row>
    <row r="7">
      <c r="A7" s="12" t="s">
        <v>42</v>
      </c>
      <c r="B7" s="12">
        <v>4.0</v>
      </c>
      <c r="C7" s="12" t="s">
        <v>133</v>
      </c>
    </row>
    <row r="8">
      <c r="A8" s="12" t="s">
        <v>44</v>
      </c>
      <c r="B8" s="12" t="s">
        <v>134</v>
      </c>
      <c r="C8" s="12" t="s">
        <v>135</v>
      </c>
    </row>
    <row r="9">
      <c r="A9" s="12" t="s">
        <v>45</v>
      </c>
      <c r="B9" s="12" t="s">
        <v>131</v>
      </c>
      <c r="C9" s="12" t="s">
        <v>136</v>
      </c>
    </row>
    <row r="10">
      <c r="A10" s="11"/>
      <c r="B10" s="11"/>
      <c r="C10" s="11"/>
    </row>
    <row r="11">
      <c r="A11" s="11"/>
      <c r="B11" s="11"/>
      <c r="C11" s="11"/>
    </row>
    <row r="12">
      <c r="A12" s="11"/>
      <c r="B12" s="11"/>
      <c r="C12" s="11"/>
    </row>
    <row r="13">
      <c r="A13" s="11"/>
      <c r="B13" s="11"/>
      <c r="C13" s="11"/>
    </row>
    <row r="14">
      <c r="A14" s="11"/>
      <c r="B14" s="11"/>
      <c r="C14" s="11"/>
    </row>
    <row r="15">
      <c r="A15" s="11"/>
      <c r="B15" s="11"/>
      <c r="C15" s="11"/>
    </row>
    <row r="16">
      <c r="A16" s="11"/>
      <c r="B16" s="11"/>
      <c r="C16" s="11"/>
    </row>
    <row r="17">
      <c r="A17" s="11"/>
      <c r="B17" s="11"/>
      <c r="C17" s="11"/>
    </row>
    <row r="18">
      <c r="A18" s="11"/>
      <c r="B18" s="11"/>
      <c r="C18" s="11"/>
    </row>
    <row r="19">
      <c r="A19" s="11"/>
      <c r="B19" s="11"/>
      <c r="C19" s="11"/>
    </row>
    <row r="20">
      <c r="A20" s="11"/>
      <c r="B20" s="11"/>
      <c r="C20" s="11"/>
    </row>
    <row r="21" ht="15.75" customHeight="1">
      <c r="A21" s="11"/>
      <c r="B21" s="11"/>
      <c r="C21" s="11"/>
    </row>
    <row r="22" ht="15.75" customHeight="1">
      <c r="A22" s="11"/>
      <c r="B22" s="11"/>
      <c r="C22" s="11"/>
    </row>
    <row r="23" ht="15.75" customHeight="1">
      <c r="A23" s="11"/>
      <c r="B23" s="11"/>
      <c r="C23" s="11"/>
    </row>
    <row r="24" ht="15.75" customHeight="1">
      <c r="A24" s="11"/>
      <c r="B24" s="11"/>
      <c r="C24" s="1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C2"/>
  </mergeCells>
  <dataValidations>
    <dataValidation type="list" allowBlank="1" showInputMessage="1" showErrorMessage="1" prompt="Participant - P1 to P5" sqref="A5:A24">
      <formula1>"P1,P2,P3,P4,P5"</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46.0"/>
    <col customWidth="1" min="3" max="3" width="16.0"/>
    <col customWidth="1" min="4" max="4" width="14.0"/>
    <col customWidth="1" min="5" max="5" width="42.0"/>
    <col customWidth="1" min="6" max="6" width="14.0"/>
    <col customWidth="1" min="7" max="26" width="8.71"/>
  </cols>
  <sheetData>
    <row r="1">
      <c r="A1" s="1" t="s">
        <v>137</v>
      </c>
    </row>
    <row r="2" ht="51.75" customHeight="1">
      <c r="A2" s="4" t="s">
        <v>138</v>
      </c>
      <c r="B2" s="5"/>
      <c r="C2" s="5"/>
      <c r="D2" s="5"/>
      <c r="E2" s="5"/>
      <c r="F2" s="7"/>
    </row>
    <row r="4" ht="31.5" customHeight="1">
      <c r="A4" s="8" t="s">
        <v>103</v>
      </c>
      <c r="B4" s="8" t="s">
        <v>104</v>
      </c>
      <c r="C4" s="8" t="s">
        <v>105</v>
      </c>
      <c r="D4" s="8" t="s">
        <v>106</v>
      </c>
      <c r="E4" s="8" t="s">
        <v>107</v>
      </c>
      <c r="F4" s="8" t="s">
        <v>108</v>
      </c>
    </row>
    <row r="5">
      <c r="A5" s="12">
        <v>1.0</v>
      </c>
      <c r="B5" s="12" t="s">
        <v>139</v>
      </c>
      <c r="C5" s="12" t="s">
        <v>140</v>
      </c>
      <c r="D5" s="12" t="s">
        <v>141</v>
      </c>
      <c r="E5" s="12" t="s">
        <v>142</v>
      </c>
      <c r="F5" s="12" t="s">
        <v>143</v>
      </c>
    </row>
    <row r="6">
      <c r="A6" s="12">
        <v>2.0</v>
      </c>
      <c r="B6" s="12" t="s">
        <v>144</v>
      </c>
      <c r="C6" s="12" t="s">
        <v>145</v>
      </c>
      <c r="D6" s="12" t="s">
        <v>141</v>
      </c>
      <c r="E6" s="12" t="s">
        <v>146</v>
      </c>
      <c r="F6" s="12" t="s">
        <v>143</v>
      </c>
    </row>
    <row r="7">
      <c r="A7" s="12">
        <v>3.0</v>
      </c>
      <c r="B7" s="12" t="s">
        <v>147</v>
      </c>
      <c r="C7" s="12" t="s">
        <v>148</v>
      </c>
      <c r="D7" s="12" t="s">
        <v>141</v>
      </c>
      <c r="E7" s="12" t="s">
        <v>149</v>
      </c>
      <c r="F7" s="12" t="s">
        <v>114</v>
      </c>
    </row>
    <row r="8">
      <c r="A8" s="12">
        <v>4.0</v>
      </c>
      <c r="B8" s="12" t="s">
        <v>150</v>
      </c>
      <c r="C8" s="12" t="s">
        <v>151</v>
      </c>
      <c r="D8" s="12" t="s">
        <v>141</v>
      </c>
      <c r="E8" s="12" t="s">
        <v>152</v>
      </c>
      <c r="F8" s="12" t="s">
        <v>114</v>
      </c>
    </row>
    <row r="9">
      <c r="A9" s="12">
        <v>5.0</v>
      </c>
      <c r="B9" s="12" t="s">
        <v>154</v>
      </c>
      <c r="C9" s="12" t="s">
        <v>155</v>
      </c>
      <c r="D9" s="12" t="s">
        <v>141</v>
      </c>
      <c r="E9" s="12" t="s">
        <v>157</v>
      </c>
      <c r="F9" s="12" t="s">
        <v>114</v>
      </c>
    </row>
    <row r="10">
      <c r="A10" s="11"/>
      <c r="B10" s="11"/>
      <c r="C10" s="11"/>
      <c r="D10" s="11"/>
      <c r="E10" s="11"/>
      <c r="F10" s="11"/>
    </row>
    <row r="11">
      <c r="A11" s="11"/>
      <c r="B11" s="11"/>
      <c r="C11" s="11"/>
      <c r="D11" s="11"/>
      <c r="E11" s="11"/>
      <c r="F11" s="11"/>
    </row>
    <row r="12">
      <c r="A12" s="11"/>
      <c r="B12" s="11"/>
      <c r="C12" s="11"/>
      <c r="D12" s="11"/>
      <c r="E12" s="11"/>
      <c r="F12" s="11"/>
    </row>
    <row r="13">
      <c r="A13" s="11"/>
      <c r="B13" s="11"/>
      <c r="C13" s="11"/>
      <c r="D13" s="11"/>
      <c r="E13" s="11"/>
      <c r="F13" s="11"/>
    </row>
    <row r="14">
      <c r="A14" s="11"/>
      <c r="B14" s="11"/>
      <c r="C14" s="11"/>
      <c r="D14" s="11"/>
      <c r="E14" s="11"/>
      <c r="F14"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ataValidations>
    <dataValidation type="decimal" allowBlank="1" showInputMessage="1" showErrorMessage="1" prompt="Rank - 1 = most important." sqref="A5:A14">
      <formula1>1.0</formula1>
      <formula2>10.0</formula2>
    </dataValidation>
    <dataValidation type="list" allowBlank="1" showInputMessage="1" showErrorMessage="1" prompt="Status - open, fixed or accepted." sqref="F5:F14">
      <formula1>"open,fixed,accepted"</formula1>
    </dataValidation>
    <dataValidation type="list" allowBlank="1" showInputMessage="1" showErrorMessage="1" prompt="Severity - blocker, major or minor." sqref="D5:D14">
      <formula1>"blocker,major,minor"</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0"/>
    <col customWidth="1" min="2" max="2" width="16.0"/>
    <col customWidth="1" min="3" max="3" width="52.0"/>
    <col customWidth="1" min="4" max="26" width="8.71"/>
  </cols>
  <sheetData>
    <row r="1">
      <c r="A1" s="1" t="s">
        <v>153</v>
      </c>
    </row>
    <row r="2" ht="36.0" customHeight="1">
      <c r="A2" s="4" t="s">
        <v>156</v>
      </c>
      <c r="B2" s="5"/>
      <c r="C2" s="7"/>
    </row>
    <row r="4" ht="31.5" customHeight="1">
      <c r="A4" s="8" t="s">
        <v>158</v>
      </c>
      <c r="B4" s="8" t="s">
        <v>52</v>
      </c>
      <c r="C4" s="8" t="s">
        <v>159</v>
      </c>
    </row>
    <row r="5">
      <c r="A5" s="10" t="s">
        <v>160</v>
      </c>
      <c r="B5" s="13" t="str">
        <f>IF(COUNTIF(Tasks!K5:K15,"incomplete")&gt;0,"NOT YET",IF(COUNTIF(Tasks!K5:K15,"FAIL")=0,"YES","NO"))</f>
        <v>YES</v>
      </c>
      <c r="C5" s="13" t="str">
        <f>IF(COUNTIF(Tasks!K5:K15,"incomplete")&gt;0,COUNTIF(Tasks!K5:K15,"incomplete")&amp;" task(s) have blank entries","Tasks that fail: "&amp;COUNTIF(Tasks!K5:K15,"FAIL"))</f>
        <v>Tasks that fail: 0</v>
      </c>
    </row>
    <row r="6">
      <c r="A6" s="10" t="s">
        <v>161</v>
      </c>
      <c r="B6" s="13" t="str">
        <f>IF(COUNT(Timing!E5:E29)&lt;25,"NOT YET",IF(COUNTIF(Timing!G5:G29,"YES")=0,"YES","NO"))</f>
        <v>YES</v>
      </c>
      <c r="C6" s="13" t="str">
        <f>COUNTIF(Timing!G5:G29,"YES")&amp;" timing entries over 2 minutes"</f>
        <v>0 timing entries over 2 minutes</v>
      </c>
    </row>
    <row r="7">
      <c r="A7" s="10" t="s">
        <v>162</v>
      </c>
      <c r="B7" s="13">
        <f>IF(COUNT(SUS!B17:F17)&lt;5,"NOT YET",ROUND(AVERAGE(SUS!B17:F17),1))</f>
        <v>94.5</v>
      </c>
      <c r="C7" s="13" t="str">
        <f>"Scores above 68 are above average"</f>
        <v>Scores above 68 are above average</v>
      </c>
    </row>
    <row r="8">
      <c r="A8" s="10" t="s">
        <v>163</v>
      </c>
      <c r="B8" s="13">
        <f>COUNTIF(Issues!D5:D14,"blocker")</f>
        <v>0</v>
      </c>
      <c r="C8" s="13" t="str">
        <f>"Blockers must be fixed before phase 2 starts"</f>
        <v>Blockers must be fixed before phase 2 starts</v>
      </c>
    </row>
    <row r="10">
      <c r="A10" s="9" t="s">
        <v>164</v>
      </c>
    </row>
    <row r="11" ht="31.5" customHeight="1">
      <c r="A11" s="8" t="s">
        <v>165</v>
      </c>
      <c r="B11" s="8" t="s">
        <v>108</v>
      </c>
      <c r="C11" s="8" t="s">
        <v>166</v>
      </c>
    </row>
    <row r="12">
      <c r="A12" s="10" t="s">
        <v>167</v>
      </c>
      <c r="B12" s="13" t="str">
        <f>IF(SUM(Tasks!J5:J15)=0,"complete",SUM(Tasks!J5:J15)&amp;" blank")</f>
        <v>complete</v>
      </c>
      <c r="C12" s="13" t="str">
        <f>IF(SUM(Tasks!J5:J15)=0,"Nothing","Fill every yellow letter on the Tasks tab")</f>
        <v>Nothing</v>
      </c>
    </row>
    <row r="13">
      <c r="A13" s="10" t="s">
        <v>168</v>
      </c>
      <c r="B13" s="13" t="str">
        <f>IF(COUNT(Timing!E5:E29)=25,"complete",(25-COUNT(Timing!E5:E29))&amp;" missing")</f>
        <v>complete</v>
      </c>
      <c r="C13" s="13" t="str">
        <f>IF(COUNT(Timing!E5:E29)=25,"Nothing","Fill minutes and seconds on the Timing tab")</f>
        <v>Nothing</v>
      </c>
    </row>
    <row r="14">
      <c r="A14" s="10" t="s">
        <v>169</v>
      </c>
      <c r="B14" s="13" t="str">
        <f>IF(COUNT(SUS!B5:F14)=50,"complete",(50-COUNT(SUS!B5:F14))&amp;" missing")</f>
        <v>complete</v>
      </c>
      <c r="C14" s="13" t="str">
        <f>IF(COUNT(SUS!B5:F14)=50,"Nothing","Fill every SUS answer")</f>
        <v>Nothing</v>
      </c>
    </row>
    <row r="15">
      <c r="A15" s="10" t="s">
        <v>170</v>
      </c>
      <c r="B15" s="13" t="str">
        <f>COUNTIF(SUS!C16:F16,"Same*")&amp;" flagged"</f>
        <v>0 flagged</v>
      </c>
      <c r="C15" s="13" t="str">
        <f>IF(COUNTIF(SUS!C16:F16,"Same*")=0,"Nothing","Check with that person: same answers as P1")</f>
        <v>Nothing</v>
      </c>
    </row>
    <row r="16">
      <c r="A16" s="10" t="s">
        <v>171</v>
      </c>
      <c r="B16" s="13" t="str">
        <f>IF(COUNTA(Issues!B5:B14)=0,"none yet","entered")</f>
        <v>entered</v>
      </c>
      <c r="C16" s="13" t="str">
        <f>IF(COUNTA(Issues!B5:B14)=0,"Add issues, or write none found","Nothing")</f>
        <v>Nothing</v>
      </c>
    </row>
    <row r="18">
      <c r="A18" s="18" t="s">
        <v>172</v>
      </c>
    </row>
    <row r="19">
      <c r="A19" s="11" t="s">
        <v>173</v>
      </c>
      <c r="B19" s="11"/>
      <c r="C19"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C2"/>
  </mergeCells>
  <conditionalFormatting sqref="B5:B8">
    <cfRule type="cellIs" dxfId="2" priority="1" operator="equal">
      <formula>"NOT YET"</formula>
    </cfRule>
  </conditionalFormatting>
  <conditionalFormatting sqref="B5:B8">
    <cfRule type="cellIs" dxfId="1" priority="2" operator="equal">
      <formula>"YES"</formula>
    </cfRule>
  </conditionalFormatting>
  <conditionalFormatting sqref="B5:B8">
    <cfRule type="cellIs" dxfId="0" priority="3" operator="equal">
      <formula>"NO"</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2026-10-21T10:03:37Z</dcterms:created>
  <dc:creator>openpyxl</dc:creator>
</cp:coreProperties>
</file>